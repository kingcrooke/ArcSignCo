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Invoice" sheetId="2" state="visible" r:id="rId2"/>
  </sheets>
  <definedNames>
    <definedName name="_xlnm.Print_Area" localSheetId="0">'Estimate'!$A$1:$G$36</definedName>
    <definedName name="_xlnm.Print_Area" localSheetId="1">'Invoice'!$A$1:$G$37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0B1D33"/>
      <sz val="14"/>
    </font>
    <font>
      <name val="Arial"/>
      <color rgb="006B7280"/>
      <sz val="9"/>
    </font>
    <font>
      <name val="Arial"/>
      <b val="1"/>
      <color rgb="006B7280"/>
      <sz val="9"/>
    </font>
    <font>
      <name val="Arial"/>
      <b val="1"/>
      <color rgb="00B45F06"/>
      <sz val="9"/>
    </font>
    <font>
      <name val="Arial"/>
      <b val="1"/>
      <color rgb="00FFFFFF"/>
      <sz val="9"/>
    </font>
    <font>
      <name val="Arial"/>
      <b val="1"/>
      <color rgb="00D4A843"/>
      <sz val="9"/>
    </font>
    <font>
      <name val="Arial"/>
      <b val="1"/>
      <color rgb="000B1D33"/>
      <sz val="9"/>
    </font>
    <font>
      <name val="Arial"/>
      <sz val="9"/>
    </font>
    <font>
      <name val="Arial"/>
      <color rgb="001F2937"/>
      <sz val="9"/>
    </font>
    <font>
      <name val="Arial"/>
      <i val="1"/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B1D33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right"/>
    </xf>
    <xf numFmtId="0" fontId="6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0" fontId="8" fillId="2" borderId="1" pivotButton="0" quotePrefix="0" xfId="0"/>
    <xf numFmtId="164" fontId="8" fillId="2" borderId="1" pivotButton="0" quotePrefix="0" xfId="0"/>
    <xf numFmtId="164" fontId="8" fillId="0" borderId="1" pivotButton="0" quotePrefix="0" xfId="0"/>
    <xf numFmtId="0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5" fontId="0" fillId="2" borderId="0" pivotButton="0" quotePrefix="0" xfId="0"/>
    <xf numFmtId="49" fontId="9" fillId="2" borderId="0" pivotButton="0" quotePrefix="0" xfId="0"/>
    <xf numFmtId="0" fontId="5" fillId="3" borderId="0" pivotButton="0" quotePrefix="0" xfId="0"/>
    <xf numFmtId="0" fontId="0" fillId="3" borderId="0" pivotButton="0" quotePrefix="0" xfId="0"/>
    <xf numFmtId="164" fontId="6" fillId="3" borderId="0" pivotButton="0" quotePrefix="0" xfId="0"/>
    <xf numFmtId="9" fontId="0" fillId="2" borderId="0" pivotButton="0" quotePrefix="0" xfId="0"/>
    <xf numFmtId="164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9" customWidth="1" min="4" max="4"/>
    <col width="9" customWidth="1" min="5" max="5"/>
    <col width="13" customWidth="1" min="6" max="6"/>
    <col width="15" customWidth="1" min="7" max="7"/>
  </cols>
  <sheetData>
    <row r="1">
      <c r="A1" s="1" t="inlineStr">
        <is>
          <t>Arc Signage Co LLC</t>
        </is>
      </c>
      <c r="G1" s="2" t="inlineStr">
        <is>
          <t>ESTIMATE / PROPOSAL</t>
        </is>
      </c>
    </row>
    <row r="2">
      <c r="A2" s="3" t="inlineStr">
        <is>
          <t>1974 Crotona Ave, Bronx, NY 10457 · (347) 450-2110 (call or text) · jc@arcsignco.com · arcsignco.com</t>
        </is>
      </c>
    </row>
    <row r="4">
      <c r="B4" s="4" t="inlineStr">
        <is>
          <t>Estimate No.</t>
        </is>
      </c>
      <c r="C4" s="5" t="inlineStr">
        <is>
          <t>ARC-[YYYY]-[MMDD]-[XXX]</t>
        </is>
      </c>
    </row>
    <row r="5">
      <c r="B5" s="4" t="inlineStr">
        <is>
          <t>Date</t>
        </is>
      </c>
      <c r="C5" s="5" t="inlineStr">
        <is>
          <t>[DATE]</t>
        </is>
      </c>
    </row>
    <row r="6">
      <c r="B6" s="4" t="inlineStr">
        <is>
          <t>Valid until</t>
        </is>
      </c>
      <c r="C6" s="5" t="inlineStr">
        <is>
          <t>[DATE + 30 DAYS]</t>
        </is>
      </c>
    </row>
    <row r="7">
      <c r="B7" s="4" t="inlineStr">
        <is>
          <t>Client</t>
        </is>
      </c>
      <c r="C7" s="5" t="inlineStr">
        <is>
          <t>[CLIENT NAME]</t>
        </is>
      </c>
    </row>
    <row r="8">
      <c r="B8" s="4" t="inlineStr">
        <is>
          <t>Project</t>
        </is>
      </c>
      <c r="C8" s="5" t="inlineStr">
        <is>
          <t>[PROJECT NAME]</t>
        </is>
      </c>
    </row>
    <row r="10">
      <c r="A10" s="6" t="inlineStr">
        <is>
          <t>#</t>
        </is>
      </c>
      <c r="B10" s="6" t="inlineStr">
        <is>
          <t>Item</t>
        </is>
      </c>
      <c r="C10" s="6" t="inlineStr">
        <is>
          <t>Description</t>
        </is>
      </c>
      <c r="D10" s="7" t="inlineStr">
        <is>
          <t>Qty</t>
        </is>
      </c>
      <c r="E10" s="7" t="inlineStr">
        <is>
          <t>Unit</t>
        </is>
      </c>
      <c r="F10" s="7" t="inlineStr">
        <is>
          <t>Rate</t>
        </is>
      </c>
      <c r="G10" s="7" t="inlineStr">
        <is>
          <t>Amount</t>
        </is>
      </c>
    </row>
    <row r="11">
      <c r="A11" s="8" t="inlineStr">
        <is>
          <t>01</t>
        </is>
      </c>
      <c r="B11" s="9" t="inlineStr">
        <is>
          <t>Design</t>
        </is>
      </c>
      <c r="C11" s="10" t="inlineStr">
        <is>
          <t>[DESCRIPTION]</t>
        </is>
      </c>
      <c r="D11" s="11" t="n">
        <v>0</v>
      </c>
      <c r="E11" s="11" t="inlineStr">
        <is>
          <t>[UNIT]</t>
        </is>
      </c>
      <c r="F11" s="12" t="n">
        <v>0</v>
      </c>
      <c r="G11" s="13">
        <f>D11*F11</f>
        <v/>
      </c>
    </row>
    <row r="12">
      <c r="A12" s="8" t="inlineStr">
        <is>
          <t>02</t>
        </is>
      </c>
      <c r="B12" s="9" t="inlineStr">
        <is>
          <t>Engineering drawings</t>
        </is>
      </c>
      <c r="C12" s="10" t="inlineStr">
        <is>
          <t>[DESCRIPTION]</t>
        </is>
      </c>
      <c r="D12" s="11" t="n">
        <v>0</v>
      </c>
      <c r="E12" s="11" t="inlineStr">
        <is>
          <t>[UNIT]</t>
        </is>
      </c>
      <c r="F12" s="12" t="n">
        <v>0</v>
      </c>
      <c r="G12" s="13">
        <f>D12*F12</f>
        <v/>
      </c>
    </row>
    <row r="13">
      <c r="A13" s="8" t="inlineStr">
        <is>
          <t>03</t>
        </is>
      </c>
      <c r="B13" s="9" t="inlineStr">
        <is>
          <t>Fabrication</t>
        </is>
      </c>
      <c r="C13" s="10" t="inlineStr">
        <is>
          <t>[DESCRIPTION]</t>
        </is>
      </c>
      <c r="D13" s="11" t="n">
        <v>0</v>
      </c>
      <c r="E13" s="11" t="inlineStr">
        <is>
          <t>[UNIT]</t>
        </is>
      </c>
      <c r="F13" s="12" t="n">
        <v>0</v>
      </c>
      <c r="G13" s="13">
        <f>D13*F13</f>
        <v/>
      </c>
    </row>
    <row r="14">
      <c r="A14" s="8" t="inlineStr">
        <is>
          <t>04</t>
        </is>
      </c>
      <c r="B14" s="9" t="inlineStr">
        <is>
          <t>Installation</t>
        </is>
      </c>
      <c r="C14" s="10" t="inlineStr">
        <is>
          <t>[DESCRIPTION]</t>
        </is>
      </c>
      <c r="D14" s="11" t="n">
        <v>0</v>
      </c>
      <c r="E14" s="11" t="inlineStr">
        <is>
          <t>[UNIT]</t>
        </is>
      </c>
      <c r="F14" s="12" t="n">
        <v>0</v>
      </c>
      <c r="G14" s="13">
        <f>D14*F14</f>
        <v/>
      </c>
    </row>
    <row r="15">
      <c r="A15" s="8" t="inlineStr">
        <is>
          <t>05</t>
        </is>
      </c>
      <c r="B15" s="9" t="inlineStr">
        <is>
          <t>Permit coordination</t>
        </is>
      </c>
      <c r="C15" s="10" t="inlineStr">
        <is>
          <t>[DESCRIPTION]</t>
        </is>
      </c>
      <c r="D15" s="11" t="n">
        <v>0</v>
      </c>
      <c r="E15" s="11" t="inlineStr">
        <is>
          <t>[UNIT]</t>
        </is>
      </c>
      <c r="F15" s="12" t="n">
        <v>0</v>
      </c>
      <c r="G15" s="13">
        <f>D15*F15</f>
        <v/>
      </c>
    </row>
    <row r="16">
      <c r="A16" s="8" t="inlineStr">
        <is>
          <t>06</t>
        </is>
      </c>
      <c r="B16" s="9" t="inlineStr">
        <is>
          <t>[ADDITIONAL ITEM]</t>
        </is>
      </c>
      <c r="C16" s="10" t="inlineStr">
        <is>
          <t>[DESCRIPTION]</t>
        </is>
      </c>
      <c r="D16" s="11" t="n">
        <v>0</v>
      </c>
      <c r="E16" s="11" t="inlineStr">
        <is>
          <t>[UNIT]</t>
        </is>
      </c>
      <c r="F16" s="12" t="n">
        <v>0</v>
      </c>
      <c r="G16" s="13">
        <f>D16*F16</f>
        <v/>
      </c>
    </row>
    <row r="17">
      <c r="A17" s="8" t="inlineStr">
        <is>
          <t>07</t>
        </is>
      </c>
      <c r="B17" s="9" t="inlineStr">
        <is>
          <t>[ADDITIONAL ITEM]</t>
        </is>
      </c>
      <c r="C17" s="10" t="inlineStr">
        <is>
          <t>[DESCRIPTION]</t>
        </is>
      </c>
      <c r="D17" s="11" t="n">
        <v>0</v>
      </c>
      <c r="E17" s="11" t="inlineStr">
        <is>
          <t>[UNIT]</t>
        </is>
      </c>
      <c r="F17" s="12" t="n">
        <v>0</v>
      </c>
      <c r="G17" s="13">
        <f>D17*F17</f>
        <v/>
      </c>
    </row>
    <row r="19">
      <c r="E19" s="14" t="inlineStr">
        <is>
          <t>Subtotal</t>
        </is>
      </c>
      <c r="G19" s="15">
        <f>SUM(G11:G17)</f>
        <v/>
      </c>
    </row>
    <row r="20">
      <c r="C20" s="16" t="inlineStr">
        <is>
          <t>Editable rate (8.875%)</t>
        </is>
      </c>
      <c r="E20" s="14" t="inlineStr">
        <is>
          <t>Sales tax rate</t>
        </is>
      </c>
      <c r="F20" s="17" t="n">
        <v>0.08875</v>
      </c>
      <c r="G20" s="15" t="n"/>
    </row>
    <row r="21">
      <c r="C21" s="16" t="inlineStr">
        <is>
          <t>Yes only with a valid exemption or resale certificate on file before invoicing</t>
        </is>
      </c>
      <c r="E21" s="14" t="inlineStr">
        <is>
          <t>Tax exempt? (Yes/No)</t>
        </is>
      </c>
      <c r="G21" s="18" t="inlineStr">
        <is>
          <t>No</t>
        </is>
      </c>
    </row>
    <row r="22">
      <c r="E22" s="14" t="inlineStr">
        <is>
          <t>Sales tax</t>
        </is>
      </c>
      <c r="G22" s="15">
        <f>IF(G21="Yes",0,ROUND(G19*F20,2))</f>
        <v/>
      </c>
    </row>
    <row r="23">
      <c r="E23" s="19" t="inlineStr">
        <is>
          <t>TOTAL</t>
        </is>
      </c>
      <c r="F23" s="20" t="n"/>
      <c r="G23" s="21">
        <f>G19+G22</f>
        <v/>
      </c>
    </row>
    <row r="25">
      <c r="E25" s="14" t="inlineStr">
        <is>
          <t>Deposit (50%) - before work starts</t>
        </is>
      </c>
      <c r="F25" s="22" t="n">
        <v>0.5</v>
      </c>
      <c r="G25" s="15">
        <f>ROUND(G23*F25,2)</f>
        <v/>
      </c>
    </row>
    <row r="26">
      <c r="E26" s="14" t="inlineStr">
        <is>
          <t>Production (25%) - before install</t>
        </is>
      </c>
      <c r="F26" s="22" t="n">
        <v>0.25</v>
      </c>
      <c r="G26" s="15">
        <f>ROUND(G23*F26,2)</f>
        <v/>
      </c>
    </row>
    <row r="27">
      <c r="C27" s="16" t="inlineStr">
        <is>
          <t>Enter any change orders / extras billed with the final payment</t>
        </is>
      </c>
      <c r="E27" s="14" t="inlineStr">
        <is>
          <t>Additional costs</t>
        </is>
      </c>
      <c r="G27" s="23" t="n">
        <v>0</v>
      </c>
    </row>
    <row r="28">
      <c r="C28" s="16" t="inlineStr">
        <is>
          <t>Final = total - deposit - production + additional costs (absorbs rounding)</t>
        </is>
      </c>
      <c r="E28" s="14" t="inlineStr">
        <is>
          <t>Final (25%) + additional costs - Net 30</t>
        </is>
      </c>
      <c r="F28" s="22" t="n">
        <v>0.25</v>
      </c>
      <c r="G28" s="15">
        <f>G23-G25-G26+G27</f>
        <v/>
      </c>
    </row>
    <row r="30">
      <c r="E30" s="14" t="inlineStr">
        <is>
          <t>Paying by card? (Yes/No)</t>
        </is>
      </c>
      <c r="G30" s="18" t="inlineStr">
        <is>
          <t>No</t>
        </is>
      </c>
    </row>
    <row r="31">
      <c r="C31" s="16" t="inlineStr">
        <is>
          <t>3.5% of total + additional costs when paid by card</t>
        </is>
      </c>
      <c r="E31" s="14" t="inlineStr">
        <is>
          <t>Card processing fee</t>
        </is>
      </c>
      <c r="F31" s="17" t="n">
        <v>0.035</v>
      </c>
      <c r="G31" s="15">
        <f>IF(G30="Yes",ROUND((G23+G27)*F31,2),0)</f>
        <v/>
      </c>
    </row>
    <row r="32">
      <c r="E32" s="19" t="inlineStr">
        <is>
          <t>TOTAL BILLED (incl. extras / card fee)</t>
        </is>
      </c>
      <c r="F32" s="20" t="n"/>
      <c r="G32" s="21">
        <f>G23+G27+G31</f>
        <v/>
      </c>
    </row>
    <row r="33">
      <c r="E33" s="14" t="inlineStr">
        <is>
          <t>Amount paid</t>
        </is>
      </c>
      <c r="G33" s="23" t="n">
        <v>0</v>
      </c>
    </row>
    <row r="34">
      <c r="E34" s="19" t="inlineStr">
        <is>
          <t>BALANCE DUE</t>
        </is>
      </c>
      <c r="F34" s="20" t="n"/>
      <c r="G34" s="21">
        <f>G32-G33</f>
        <v/>
      </c>
    </row>
    <row r="36">
      <c r="B36" s="16" t="inlineStr">
        <is>
          <t>Yellow cells are inputs. All other amounts are live formulas.</t>
        </is>
      </c>
    </row>
  </sheetData>
  <dataValidations count="1">
    <dataValidation sqref="G21 G30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9" customWidth="1" min="4" max="4"/>
    <col width="9" customWidth="1" min="5" max="5"/>
    <col width="13" customWidth="1" min="6" max="6"/>
    <col width="15" customWidth="1" min="7" max="7"/>
  </cols>
  <sheetData>
    <row r="1">
      <c r="A1" s="1" t="inlineStr">
        <is>
          <t>Arc Signage Co LLC</t>
        </is>
      </c>
      <c r="G1" s="2" t="inlineStr">
        <is>
          <t>INVOICE</t>
        </is>
      </c>
    </row>
    <row r="2">
      <c r="A2" s="3" t="inlineStr">
        <is>
          <t>1974 Crotona Ave, Bronx, NY 10457 · (347) 450-2110 (call or text) · jc@arcsignco.com · arcsignco.com</t>
        </is>
      </c>
    </row>
    <row r="4">
      <c r="B4" s="4" t="inlineStr">
        <is>
          <t>Invoice No.</t>
        </is>
      </c>
      <c r="C4" s="5" t="inlineStr">
        <is>
          <t>INV-[YYYY]-[MMDD]-[XXX]</t>
        </is>
      </c>
    </row>
    <row r="5">
      <c r="B5" s="4" t="inlineStr">
        <is>
          <t>Invoice date</t>
        </is>
      </c>
      <c r="C5" s="5" t="inlineStr">
        <is>
          <t>[DATE]</t>
        </is>
      </c>
    </row>
    <row r="6">
      <c r="B6" s="4" t="inlineStr">
        <is>
          <t>Due date</t>
        </is>
      </c>
      <c r="C6" s="5" t="inlineStr">
        <is>
          <t>[DUE DATE]</t>
        </is>
      </c>
    </row>
    <row r="7">
      <c r="B7" s="4" t="inlineStr">
        <is>
          <t>Estimate ref.</t>
        </is>
      </c>
      <c r="C7" s="5" t="inlineStr">
        <is>
          <t>ARC-[YYYY]-[MMDD]-[XXX]</t>
        </is>
      </c>
    </row>
    <row r="8">
      <c r="B8" s="4" t="inlineStr">
        <is>
          <t>Client</t>
        </is>
      </c>
      <c r="C8" s="5" t="inlineStr">
        <is>
          <t>[CLIENT NAME]</t>
        </is>
      </c>
    </row>
    <row r="9">
      <c r="B9" s="4" t="inlineStr">
        <is>
          <t>Project</t>
        </is>
      </c>
      <c r="C9" s="5" t="inlineStr">
        <is>
          <t>[PROJECT NAME]</t>
        </is>
      </c>
    </row>
    <row r="11">
      <c r="A11" s="6" t="inlineStr">
        <is>
          <t>#</t>
        </is>
      </c>
      <c r="B11" s="6" t="inlineStr">
        <is>
          <t>Item</t>
        </is>
      </c>
      <c r="C11" s="6" t="inlineStr">
        <is>
          <t>Description</t>
        </is>
      </c>
      <c r="D11" s="7" t="inlineStr">
        <is>
          <t>Qty</t>
        </is>
      </c>
      <c r="E11" s="7" t="inlineStr">
        <is>
          <t>Unit</t>
        </is>
      </c>
      <c r="F11" s="7" t="inlineStr">
        <is>
          <t>Rate</t>
        </is>
      </c>
      <c r="G11" s="7" t="inlineStr">
        <is>
          <t>Amount</t>
        </is>
      </c>
    </row>
    <row r="12">
      <c r="A12" s="8" t="inlineStr">
        <is>
          <t>01</t>
        </is>
      </c>
      <c r="B12" s="9" t="inlineStr">
        <is>
          <t>Design</t>
        </is>
      </c>
      <c r="C12" s="10" t="inlineStr">
        <is>
          <t>[DESCRIPTION]</t>
        </is>
      </c>
      <c r="D12" s="11" t="n">
        <v>0</v>
      </c>
      <c r="E12" s="11" t="inlineStr">
        <is>
          <t>[UNIT]</t>
        </is>
      </c>
      <c r="F12" s="12" t="n">
        <v>0</v>
      </c>
      <c r="G12" s="13">
        <f>D12*F12</f>
        <v/>
      </c>
    </row>
    <row r="13">
      <c r="A13" s="8" t="inlineStr">
        <is>
          <t>02</t>
        </is>
      </c>
      <c r="B13" s="9" t="inlineStr">
        <is>
          <t>Engineering drawings</t>
        </is>
      </c>
      <c r="C13" s="10" t="inlineStr">
        <is>
          <t>[DESCRIPTION]</t>
        </is>
      </c>
      <c r="D13" s="11" t="n">
        <v>0</v>
      </c>
      <c r="E13" s="11" t="inlineStr">
        <is>
          <t>[UNIT]</t>
        </is>
      </c>
      <c r="F13" s="12" t="n">
        <v>0</v>
      </c>
      <c r="G13" s="13">
        <f>D13*F13</f>
        <v/>
      </c>
    </row>
    <row r="14">
      <c r="A14" s="8" t="inlineStr">
        <is>
          <t>03</t>
        </is>
      </c>
      <c r="B14" s="9" t="inlineStr">
        <is>
          <t>Fabrication</t>
        </is>
      </c>
      <c r="C14" s="10" t="inlineStr">
        <is>
          <t>[DESCRIPTION]</t>
        </is>
      </c>
      <c r="D14" s="11" t="n">
        <v>0</v>
      </c>
      <c r="E14" s="11" t="inlineStr">
        <is>
          <t>[UNIT]</t>
        </is>
      </c>
      <c r="F14" s="12" t="n">
        <v>0</v>
      </c>
      <c r="G14" s="13">
        <f>D14*F14</f>
        <v/>
      </c>
    </row>
    <row r="15">
      <c r="A15" s="8" t="inlineStr">
        <is>
          <t>04</t>
        </is>
      </c>
      <c r="B15" s="9" t="inlineStr">
        <is>
          <t>Installation</t>
        </is>
      </c>
      <c r="C15" s="10" t="inlineStr">
        <is>
          <t>[DESCRIPTION]</t>
        </is>
      </c>
      <c r="D15" s="11" t="n">
        <v>0</v>
      </c>
      <c r="E15" s="11" t="inlineStr">
        <is>
          <t>[UNIT]</t>
        </is>
      </c>
      <c r="F15" s="12" t="n">
        <v>0</v>
      </c>
      <c r="G15" s="13">
        <f>D15*F15</f>
        <v/>
      </c>
    </row>
    <row r="16">
      <c r="A16" s="8" t="inlineStr">
        <is>
          <t>05</t>
        </is>
      </c>
      <c r="B16" s="9" t="inlineStr">
        <is>
          <t>Permit coordination</t>
        </is>
      </c>
      <c r="C16" s="10" t="inlineStr">
        <is>
          <t>[DESCRIPTION]</t>
        </is>
      </c>
      <c r="D16" s="11" t="n">
        <v>0</v>
      </c>
      <c r="E16" s="11" t="inlineStr">
        <is>
          <t>[UNIT]</t>
        </is>
      </c>
      <c r="F16" s="12" t="n">
        <v>0</v>
      </c>
      <c r="G16" s="13">
        <f>D16*F16</f>
        <v/>
      </c>
    </row>
    <row r="17">
      <c r="A17" s="8" t="inlineStr">
        <is>
          <t>06</t>
        </is>
      </c>
      <c r="B17" s="9" t="inlineStr">
        <is>
          <t>[ADDITIONAL ITEM]</t>
        </is>
      </c>
      <c r="C17" s="10" t="inlineStr">
        <is>
          <t>[DESCRIPTION]</t>
        </is>
      </c>
      <c r="D17" s="11" t="n">
        <v>0</v>
      </c>
      <c r="E17" s="11" t="inlineStr">
        <is>
          <t>[UNIT]</t>
        </is>
      </c>
      <c r="F17" s="12" t="n">
        <v>0</v>
      </c>
      <c r="G17" s="13">
        <f>D17*F17</f>
        <v/>
      </c>
    </row>
    <row r="18">
      <c r="A18" s="8" t="inlineStr">
        <is>
          <t>07</t>
        </is>
      </c>
      <c r="B18" s="9" t="inlineStr">
        <is>
          <t>[ADDITIONAL ITEM]</t>
        </is>
      </c>
      <c r="C18" s="10" t="inlineStr">
        <is>
          <t>[DESCRIPTION]</t>
        </is>
      </c>
      <c r="D18" s="11" t="n">
        <v>0</v>
      </c>
      <c r="E18" s="11" t="inlineStr">
        <is>
          <t>[UNIT]</t>
        </is>
      </c>
      <c r="F18" s="12" t="n">
        <v>0</v>
      </c>
      <c r="G18" s="13">
        <f>D18*F18</f>
        <v/>
      </c>
    </row>
    <row r="20">
      <c r="E20" s="14" t="inlineStr">
        <is>
          <t>Subtotal</t>
        </is>
      </c>
      <c r="G20" s="15">
        <f>SUM(G12:G18)</f>
        <v/>
      </c>
    </row>
    <row r="21">
      <c r="C21" s="16" t="inlineStr">
        <is>
          <t>Editable rate (8.875%)</t>
        </is>
      </c>
      <c r="E21" s="14" t="inlineStr">
        <is>
          <t>Sales tax rate</t>
        </is>
      </c>
      <c r="F21" s="17" t="n">
        <v>0.08875</v>
      </c>
      <c r="G21" s="15" t="n"/>
    </row>
    <row r="22">
      <c r="C22" s="16" t="inlineStr">
        <is>
          <t>Yes only with a valid exemption or resale certificate on file before invoicing</t>
        </is>
      </c>
      <c r="E22" s="14" t="inlineStr">
        <is>
          <t>Tax exempt? (Yes/No)</t>
        </is>
      </c>
      <c r="G22" s="18" t="inlineStr">
        <is>
          <t>No</t>
        </is>
      </c>
    </row>
    <row r="23">
      <c r="E23" s="14" t="inlineStr">
        <is>
          <t>Sales tax</t>
        </is>
      </c>
      <c r="G23" s="15">
        <f>IF(G22="Yes",0,ROUND(G20*F21,2))</f>
        <v/>
      </c>
    </row>
    <row r="24">
      <c r="E24" s="19" t="inlineStr">
        <is>
          <t>TOTAL</t>
        </is>
      </c>
      <c r="F24" s="20" t="n"/>
      <c r="G24" s="21">
        <f>G20+G23</f>
        <v/>
      </c>
    </row>
    <row r="26">
      <c r="E26" s="14" t="inlineStr">
        <is>
          <t>Deposit (50%) - before work starts</t>
        </is>
      </c>
      <c r="F26" s="22" t="n">
        <v>0.5</v>
      </c>
      <c r="G26" s="15">
        <f>ROUND(G24*F26,2)</f>
        <v/>
      </c>
    </row>
    <row r="27">
      <c r="E27" s="14" t="inlineStr">
        <is>
          <t>Production (25%) - before install</t>
        </is>
      </c>
      <c r="F27" s="22" t="n">
        <v>0.25</v>
      </c>
      <c r="G27" s="15">
        <f>ROUND(G24*F27,2)</f>
        <v/>
      </c>
    </row>
    <row r="28">
      <c r="C28" s="16" t="inlineStr">
        <is>
          <t>Enter any change orders / extras billed with the final payment</t>
        </is>
      </c>
      <c r="E28" s="14" t="inlineStr">
        <is>
          <t>Additional costs</t>
        </is>
      </c>
      <c r="G28" s="23" t="n">
        <v>0</v>
      </c>
    </row>
    <row r="29">
      <c r="C29" s="16" t="inlineStr">
        <is>
          <t>Final = total - deposit - production + additional costs (absorbs rounding)</t>
        </is>
      </c>
      <c r="E29" s="14" t="inlineStr">
        <is>
          <t>Final (25%) + additional costs - Net 30</t>
        </is>
      </c>
      <c r="F29" s="22" t="n">
        <v>0.25</v>
      </c>
      <c r="G29" s="15">
        <f>G24-G26-G27+G28</f>
        <v/>
      </c>
    </row>
    <row r="31">
      <c r="E31" s="14" t="inlineStr">
        <is>
          <t>Paying by card? (Yes/No)</t>
        </is>
      </c>
      <c r="G31" s="18" t="inlineStr">
        <is>
          <t>No</t>
        </is>
      </c>
    </row>
    <row r="32">
      <c r="C32" s="16" t="inlineStr">
        <is>
          <t>3.5% of total + additional costs when paid by card</t>
        </is>
      </c>
      <c r="E32" s="14" t="inlineStr">
        <is>
          <t>Card processing fee</t>
        </is>
      </c>
      <c r="F32" s="17" t="n">
        <v>0.035</v>
      </c>
      <c r="G32" s="15">
        <f>IF(G31="Yes",ROUND((G24+G28)*F32,2),0)</f>
        <v/>
      </c>
    </row>
    <row r="33">
      <c r="E33" s="19" t="inlineStr">
        <is>
          <t>TOTAL BILLED (incl. extras / card fee)</t>
        </is>
      </c>
      <c r="F33" s="20" t="n"/>
      <c r="G33" s="21">
        <f>G24+G28+G32</f>
        <v/>
      </c>
    </row>
    <row r="34">
      <c r="E34" s="14" t="inlineStr">
        <is>
          <t>Amount paid</t>
        </is>
      </c>
      <c r="G34" s="23" t="n">
        <v>0</v>
      </c>
    </row>
    <row r="35">
      <c r="E35" s="19" t="inlineStr">
        <is>
          <t>BALANCE DUE</t>
        </is>
      </c>
      <c r="F35" s="20" t="n"/>
      <c r="G35" s="21">
        <f>G33-G34</f>
        <v/>
      </c>
    </row>
    <row r="37">
      <c r="B37" s="16" t="inlineStr">
        <is>
          <t>Yellow cells are inputs. All other amounts are live formulas.</t>
        </is>
      </c>
    </row>
  </sheetData>
  <dataValidations count="1">
    <dataValidation sqref="G22 G31" showDropDown="0" showInputMessage="0" showErrorMessage="0" allowBlank="0" type="list">
      <formula1>"Yes,No"</formula1>
    </dataValidation>
  </dataValidation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2026-10-01T00:00:52Z</dcterms:created>
  <dcterms:modified xmlns:dcterms="http://purl.org/dc/terms/" xmlns:xsi="http://www.w3.org/2001/XMLSchema-instance" xsi:type="dcterms:W3CDTF">2026-10-01T00:00:52Z</dcterms:modified>
</cp:coreProperties>
</file>